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yC+U5M6y4J9rq4DXeq86mUwFnL4xb69J5OiP0cVntk="/>
    </ext>
  </extLst>
</workbook>
</file>

<file path=xl/sharedStrings.xml><?xml version="1.0" encoding="utf-8"?>
<sst xmlns="http://schemas.openxmlformats.org/spreadsheetml/2006/main" count="33" uniqueCount="28">
  <si>
    <t>Year</t>
  </si>
  <si>
    <t>CO2_Concentration_ppm</t>
  </si>
  <si>
    <t>Temperature_Anomaly_C</t>
  </si>
  <si>
    <t>Sea_Level_Rise_mm</t>
  </si>
  <si>
    <t>Arctic_Ice_Extent_M_sqkm</t>
  </si>
  <si>
    <t>Global_Emissions_GtCO2</t>
  </si>
  <si>
    <t>Predicted_CO2</t>
  </si>
  <si>
    <t>Residual</t>
  </si>
  <si>
    <t>MAE</t>
  </si>
  <si>
    <t>MSE</t>
  </si>
  <si>
    <t>RMSE</t>
  </si>
  <si>
    <t>Linear Relationship</t>
  </si>
  <si>
    <r>
      <rPr>
        <rFont val="&quot;Google Sans Text&quot;, sans-serif !important"/>
        <color theme="1"/>
        <sz val="9.0"/>
      </rPr>
      <t>CO_2 vs. Sea Level Rise</t>
    </r>
    <r>
      <rPr>
        <rFont val="&quot;Google Sans Text&quot;, sans-serif !important"/>
        <color theme="1"/>
      </rPr>
      <t>:</t>
    </r>
  </si>
  <si>
    <t>CO_2 vs. Global Emissions:</t>
  </si>
  <si>
    <t>CO_2 vs. Temperature Anomaly:</t>
  </si>
  <si>
    <t>CO2 VS YEAR</t>
  </si>
  <si>
    <t>Sea_Level_Rise_mm vs. Year</t>
  </si>
  <si>
    <t>Degree</t>
  </si>
  <si>
    <t xml:space="preserve">Trendline Equation </t>
  </si>
  <si>
    <t>R² value</t>
  </si>
  <si>
    <t>y = 2.235x - 4101</t>
  </si>
  <si>
    <t>y = 3.807x - 7618</t>
  </si>
  <si>
    <t>y = 0.0271 * ^2 - 106.9x + 1.05 * 10^5</t>
  </si>
  <si>
    <t>y = 0.0668x^2 - 264.8x + 2.62 * 10^5</t>
  </si>
  <si>
    <t>y = 0.000353x ^3 - 2.1x ^2 + 4165x - 2.76 * 10^6</t>
  </si>
  <si>
    <t>y = 0.00184x^3 - 11.05x^2 + 22070x - 1.47 * 10^7</t>
  </si>
  <si>
    <t>y = 1.34 * 10^{-5}x^4 - 0.108x^3 + 325x^2 - 4.35 * 10^5*x + 2.19 * 10^8</t>
  </si>
  <si>
    <t>y = -0.000415x^4 + 3.34x^3 - 10066x^2 + 1.35 * 10^7x - 6.79 * 10^9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</si>
</sst>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color theme="1"/>
      <name val="&quot;Google Sans Text&quot;"/>
    </font>
    <font>
      <sz val="9.0"/>
      <color theme="1"/>
      <name val="&quot;Google Sans Text&quot;"/>
    </font>
    <font>
      <sz val="10.0"/>
      <color theme="1"/>
      <name val="Calibri"/>
      <scheme val="minor"/>
    </font>
    <font>
      <b/>
      <color theme="1"/>
      <name val="Google Sans Text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1" numFmtId="2" xfId="0" applyFont="1" applyNumberFormat="1"/>
    <xf borderId="1" fillId="0" fontId="1" numFmtId="164" xfId="0" applyBorder="1" applyFont="1" applyNumberFormat="1"/>
    <xf borderId="0" fillId="0" fontId="1" numFmtId="164" xfId="0" applyFont="1" applyNumberFormat="1"/>
    <xf borderId="1" fillId="0" fontId="4" numFmtId="0" xfId="0" applyAlignment="1" applyBorder="1" applyFont="1">
      <alignment readingOrder="0"/>
    </xf>
    <xf borderId="1" fillId="0" fontId="1" numFmtId="165" xfId="0" applyBorder="1" applyFont="1" applyNumberForma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4" fillId="0" fontId="3" numFmtId="0" xfId="0" applyBorder="1" applyFont="1"/>
    <xf borderId="2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1" fillId="0" fontId="8" numFmtId="164" xfId="0" applyBorder="1" applyFont="1" applyNumberFormat="1"/>
    <xf borderId="1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Relationship Between Global CO2 Levels and Sea Level Rise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Sheet1!$B$2:$B$22</c:f>
            </c:numRef>
          </c:xVal>
          <c:yVal>
            <c:numRef>
              <c:f>Sheet1!$D$2:$D$22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37935"/>
        <c:axId val="1868262640"/>
      </c:scatterChart>
      <c:valAx>
        <c:axId val="1653379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CO2_Concentration_ppm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262640"/>
      </c:valAx>
      <c:valAx>
        <c:axId val="1868262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Sea_Level_Rise_mm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37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Atmospheric CO2 Concentration over Time (2000–2020)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CO2_Concentration_ppm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</c:trendline>
          <c:xVal>
            <c:numRef>
              <c:f>Sheet1!$A$2:$A$22</c:f>
            </c:numRef>
          </c:xVal>
          <c:yVal>
            <c:numRef>
              <c:f>Sheet1!$B$2:$B$22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075121"/>
        <c:axId val="956463391"/>
      </c:scatterChart>
      <c:valAx>
        <c:axId val="3170751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463391"/>
      </c:valAx>
      <c:valAx>
        <c:axId val="956463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CO2_Concentration_ppm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075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Correlation Between Atmospheric CO2 Concentration and Global Temperature Anomaly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Temperature_Anomaly_C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Sheet1!$B$2:$B$22</c:f>
            </c:numRef>
          </c:xVal>
          <c:yVal>
            <c:numRef>
              <c:f>Sheet1!$C$2:$C$22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828192"/>
        <c:axId val="268687461"/>
      </c:scatterChart>
      <c:valAx>
        <c:axId val="3498281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CO2_Concentration_ppm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687461"/>
      </c:valAx>
      <c:valAx>
        <c:axId val="268687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Temperature_Anomaly_C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828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Residual vs. Year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Sheet1!$A$2:$A$22</c:f>
            </c:numRef>
          </c:xVal>
          <c:yVal>
            <c:numRef>
              <c:f>Sheet1!$H$2:$H$22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653443"/>
        <c:axId val="817010077"/>
      </c:scatterChart>
      <c:valAx>
        <c:axId val="2196534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010077"/>
      </c:valAx>
      <c:valAx>
        <c:axId val="817010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653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Sea_Level_Rise_mm vs. Year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Sea_Level_Rise_mm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</c:trendline>
          <c:xVal>
            <c:numRef>
              <c:f>Sheet1!$A$2:$A$22</c:f>
            </c:numRef>
          </c:xVal>
          <c:yVal>
            <c:numRef>
              <c:f>Sheet1!$D$2:$D$22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631281"/>
        <c:axId val="977846965"/>
      </c:scatterChart>
      <c:valAx>
        <c:axId val="20316312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846965"/>
      </c:valAx>
      <c:valAx>
        <c:axId val="977846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Sea_Level_Rise_mm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631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514350</xdr:colOff>
      <xdr:row>4</xdr:row>
      <xdr:rowOff>57150</xdr:rowOff>
    </xdr:from>
    <xdr:ext cx="5715000" cy="3533775"/>
    <xdr:graphicFrame>
      <xdr:nvGraphicFramePr>
        <xdr:cNvPr id="13651881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523875</xdr:colOff>
      <xdr:row>30</xdr:row>
      <xdr:rowOff>38100</xdr:rowOff>
    </xdr:from>
    <xdr:ext cx="5715000" cy="3533775"/>
    <xdr:graphicFrame>
      <xdr:nvGraphicFramePr>
        <xdr:cNvPr id="199140497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647700</xdr:colOff>
      <xdr:row>30</xdr:row>
      <xdr:rowOff>85725</xdr:rowOff>
    </xdr:from>
    <xdr:ext cx="5715000" cy="3533775"/>
    <xdr:graphicFrame>
      <xdr:nvGraphicFramePr>
        <xdr:cNvPr id="111844036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304800</xdr:colOff>
      <xdr:row>30</xdr:row>
      <xdr:rowOff>85725</xdr:rowOff>
    </xdr:from>
    <xdr:ext cx="5715000" cy="3533775"/>
    <xdr:graphicFrame>
      <xdr:nvGraphicFramePr>
        <xdr:cNvPr id="350560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1200150</xdr:colOff>
      <xdr:row>30</xdr:row>
      <xdr:rowOff>85725</xdr:rowOff>
    </xdr:from>
    <xdr:ext cx="5715000" cy="3533775"/>
    <xdr:graphicFrame>
      <xdr:nvGraphicFramePr>
        <xdr:cNvPr id="1283764032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57"/>
    <col customWidth="1" min="3" max="3" width="33.71"/>
    <col customWidth="1" min="4" max="4" width="19.71"/>
    <col customWidth="1" min="5" max="5" width="25.86"/>
    <col customWidth="1" min="6" max="6" width="23.0"/>
    <col customWidth="1" min="7" max="7" width="14.71"/>
    <col customWidth="1" min="8" max="8" width="26.43"/>
    <col customWidth="1" min="9" max="9" width="11.86"/>
    <col customWidth="1" min="10" max="10" width="10.0"/>
    <col customWidth="1" min="11" max="11" width="9.14"/>
    <col customWidth="1" min="12" max="13" width="9.71"/>
    <col customWidth="1" min="14" max="14" width="26.29"/>
    <col customWidth="1" min="15" max="15" width="12.0"/>
    <col customWidth="1" min="16" max="3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/>
      <c r="J1" s="4" t="s">
        <v>8</v>
      </c>
      <c r="K1" s="4" t="s">
        <v>9</v>
      </c>
      <c r="L1" s="4" t="s">
        <v>10</v>
      </c>
      <c r="M1" s="3"/>
      <c r="N1" s="5" t="s">
        <v>11</v>
      </c>
      <c r="O1" s="6"/>
    </row>
    <row r="2">
      <c r="A2" s="1">
        <v>2000.0</v>
      </c>
      <c r="B2" s="1">
        <v>369.5</v>
      </c>
      <c r="C2" s="1">
        <v>0.39</v>
      </c>
      <c r="D2" s="1">
        <v>0.0</v>
      </c>
      <c r="E2" s="1">
        <v>6.32</v>
      </c>
      <c r="F2" s="1">
        <v>24.5</v>
      </c>
      <c r="G2" s="7">
        <f t="shared" ref="G2:G22" si="1">FORECAST(A2, $B$2:$B$22, $A$2:$A$22)</f>
        <v>368.504329</v>
      </c>
      <c r="H2" s="7">
        <f t="shared" ref="H2:H22" si="2">B2 - G2</f>
        <v>0.9956709957</v>
      </c>
      <c r="J2" s="8">
        <f t="array" ref="J2">AVERAGE(ABS(H2:H22))</f>
        <v>0.6490166976</v>
      </c>
      <c r="K2" s="8">
        <f t="array" ref="K2">AVERAGE(H2:H22^2)</f>
        <v>0.5664096063</v>
      </c>
      <c r="L2" s="8">
        <f t="array" ref="L2">SQRT(AVERAGE(H2:H22^2))</f>
        <v>0.752601891</v>
      </c>
      <c r="M2" s="9"/>
      <c r="N2" s="10" t="s">
        <v>12</v>
      </c>
      <c r="O2" s="11">
        <f>CORREL(B2:B22,D2:D22)</f>
        <v>0.9986908632</v>
      </c>
    </row>
    <row r="3">
      <c r="A3" s="1">
        <v>2001.0</v>
      </c>
      <c r="B3" s="1">
        <v>371.1</v>
      </c>
      <c r="C3" s="1">
        <v>0.54</v>
      </c>
      <c r="D3" s="1">
        <v>3.2</v>
      </c>
      <c r="E3" s="1">
        <v>6.75</v>
      </c>
      <c r="F3" s="1">
        <v>24.8</v>
      </c>
      <c r="G3" s="7">
        <f t="shared" si="1"/>
        <v>370.7091342</v>
      </c>
      <c r="H3" s="7">
        <f t="shared" si="2"/>
        <v>0.3908658009</v>
      </c>
      <c r="J3" s="9"/>
      <c r="K3" s="9"/>
      <c r="L3" s="9"/>
      <c r="M3" s="9"/>
      <c r="N3" s="12" t="s">
        <v>13</v>
      </c>
      <c r="O3" s="11">
        <f>CORREL(B2:B22, F2:F22)</f>
        <v>0.9149338604</v>
      </c>
    </row>
    <row r="4">
      <c r="A4" s="1">
        <v>2002.0</v>
      </c>
      <c r="B4" s="1">
        <v>373.2</v>
      </c>
      <c r="C4" s="1">
        <v>0.63</v>
      </c>
      <c r="D4" s="1">
        <v>7.1</v>
      </c>
      <c r="E4" s="1">
        <v>5.96</v>
      </c>
      <c r="F4" s="1">
        <v>25.3</v>
      </c>
      <c r="G4" s="7">
        <f t="shared" si="1"/>
        <v>372.9139394</v>
      </c>
      <c r="H4" s="7">
        <f t="shared" si="2"/>
        <v>0.2860606061</v>
      </c>
      <c r="J4" s="9"/>
      <c r="K4" s="9"/>
      <c r="L4" s="9"/>
      <c r="M4" s="9"/>
      <c r="N4" s="13" t="s">
        <v>14</v>
      </c>
      <c r="O4" s="11">
        <f>CORREL(B2:B22, C2:C22)</f>
        <v>0.890966618</v>
      </c>
    </row>
    <row r="5">
      <c r="A5" s="1">
        <v>2003.0</v>
      </c>
      <c r="B5" s="1">
        <v>375.8</v>
      </c>
      <c r="C5" s="1">
        <v>0.62</v>
      </c>
      <c r="D5" s="1">
        <v>10.5</v>
      </c>
      <c r="E5" s="1">
        <v>6.15</v>
      </c>
      <c r="F5" s="1">
        <v>26.5</v>
      </c>
      <c r="G5" s="7">
        <f t="shared" si="1"/>
        <v>375.1187446</v>
      </c>
      <c r="H5" s="7">
        <f t="shared" si="2"/>
        <v>0.6812554113</v>
      </c>
      <c r="J5" s="9"/>
      <c r="K5" s="9"/>
      <c r="L5" s="9"/>
      <c r="M5" s="9"/>
    </row>
    <row r="6">
      <c r="A6" s="1">
        <v>2004.0</v>
      </c>
      <c r="B6" s="1">
        <v>377.5</v>
      </c>
      <c r="C6" s="1">
        <v>0.53</v>
      </c>
      <c r="D6" s="1">
        <v>12.8</v>
      </c>
      <c r="E6" s="1">
        <v>6.05</v>
      </c>
      <c r="F6" s="1">
        <v>27.8</v>
      </c>
      <c r="G6" s="7">
        <f t="shared" si="1"/>
        <v>377.3235498</v>
      </c>
      <c r="H6" s="7">
        <f t="shared" si="2"/>
        <v>0.1764502165</v>
      </c>
      <c r="J6" s="9"/>
      <c r="K6" s="9"/>
      <c r="L6" s="9"/>
      <c r="M6" s="9"/>
    </row>
    <row r="7">
      <c r="A7" s="1">
        <v>2005.0</v>
      </c>
      <c r="B7" s="1">
        <v>379.8</v>
      </c>
      <c r="C7" s="1">
        <v>0.68</v>
      </c>
      <c r="D7" s="1">
        <v>15.2</v>
      </c>
      <c r="E7" s="1">
        <v>5.57</v>
      </c>
      <c r="F7" s="1">
        <v>28.7</v>
      </c>
      <c r="G7" s="7">
        <f t="shared" si="1"/>
        <v>379.528355</v>
      </c>
      <c r="H7" s="7">
        <f t="shared" si="2"/>
        <v>0.2716450216</v>
      </c>
      <c r="J7" s="9"/>
      <c r="K7" s="9"/>
      <c r="L7" s="9"/>
      <c r="M7" s="9"/>
    </row>
    <row r="8">
      <c r="A8" s="1">
        <v>2006.0</v>
      </c>
      <c r="B8" s="1">
        <v>381.9</v>
      </c>
      <c r="C8" s="1">
        <v>0.64</v>
      </c>
      <c r="D8" s="1">
        <v>19.1</v>
      </c>
      <c r="E8" s="1">
        <v>5.92</v>
      </c>
      <c r="F8" s="1">
        <v>29.4</v>
      </c>
      <c r="G8" s="7">
        <f t="shared" si="1"/>
        <v>381.7331602</v>
      </c>
      <c r="H8" s="7">
        <f t="shared" si="2"/>
        <v>0.1668398268</v>
      </c>
      <c r="J8" s="9"/>
      <c r="K8" s="9"/>
      <c r="L8" s="9"/>
      <c r="M8" s="9"/>
    </row>
    <row r="9">
      <c r="A9" s="1">
        <v>2007.0</v>
      </c>
      <c r="B9" s="1">
        <v>383.8</v>
      </c>
      <c r="C9" s="1">
        <v>0.66</v>
      </c>
      <c r="D9" s="1">
        <v>22.0</v>
      </c>
      <c r="E9" s="1">
        <v>4.3</v>
      </c>
      <c r="F9" s="1">
        <v>30.0</v>
      </c>
      <c r="G9" s="7">
        <f t="shared" si="1"/>
        <v>383.9379654</v>
      </c>
      <c r="H9" s="7">
        <f t="shared" si="2"/>
        <v>-0.137965368</v>
      </c>
      <c r="J9" s="9"/>
      <c r="K9" s="9"/>
      <c r="L9" s="9"/>
      <c r="M9" s="9"/>
    </row>
    <row r="10">
      <c r="A10" s="1">
        <v>2008.0</v>
      </c>
      <c r="B10" s="1">
        <v>385.6</v>
      </c>
      <c r="C10" s="1">
        <v>0.54</v>
      </c>
      <c r="D10" s="1">
        <v>25.3</v>
      </c>
      <c r="E10" s="1">
        <v>4.67</v>
      </c>
      <c r="F10" s="1">
        <v>30.1</v>
      </c>
      <c r="G10" s="7">
        <f t="shared" si="1"/>
        <v>386.1427706</v>
      </c>
      <c r="H10" s="7">
        <f t="shared" si="2"/>
        <v>-0.5427705628</v>
      </c>
      <c r="J10" s="9"/>
      <c r="K10" s="9"/>
      <c r="L10" s="9"/>
      <c r="M10" s="9"/>
    </row>
    <row r="11">
      <c r="A11" s="1">
        <v>2009.0</v>
      </c>
      <c r="B11" s="1">
        <v>387.4</v>
      </c>
      <c r="C11" s="1">
        <v>0.64</v>
      </c>
      <c r="D11" s="1">
        <v>29.0</v>
      </c>
      <c r="E11" s="1">
        <v>5.36</v>
      </c>
      <c r="F11" s="1">
        <v>29.4</v>
      </c>
      <c r="G11" s="7">
        <f t="shared" si="1"/>
        <v>388.3475758</v>
      </c>
      <c r="H11" s="7">
        <f t="shared" si="2"/>
        <v>-0.9475757576</v>
      </c>
      <c r="J11" s="9"/>
      <c r="K11" s="9"/>
      <c r="L11" s="9"/>
      <c r="M11" s="9"/>
    </row>
    <row r="12">
      <c r="A12" s="1">
        <v>2010.0</v>
      </c>
      <c r="B12" s="1">
        <v>389.9</v>
      </c>
      <c r="C12" s="1">
        <v>0.72</v>
      </c>
      <c r="D12" s="1">
        <v>32.5</v>
      </c>
      <c r="E12" s="1">
        <v>4.9</v>
      </c>
      <c r="F12" s="1">
        <v>31.0</v>
      </c>
      <c r="G12" s="7">
        <f t="shared" si="1"/>
        <v>390.552381</v>
      </c>
      <c r="H12" s="7">
        <f t="shared" si="2"/>
        <v>-0.6523809524</v>
      </c>
      <c r="J12" s="9"/>
      <c r="K12" s="9"/>
      <c r="L12" s="9"/>
      <c r="M12" s="9"/>
    </row>
    <row r="13">
      <c r="A13" s="1">
        <v>2011.0</v>
      </c>
      <c r="B13" s="1">
        <v>391.6</v>
      </c>
      <c r="C13" s="1">
        <v>0.61</v>
      </c>
      <c r="D13" s="1">
        <v>35.8</v>
      </c>
      <c r="E13" s="1">
        <v>4.61</v>
      </c>
      <c r="F13" s="1">
        <v>32.3</v>
      </c>
      <c r="G13" s="7">
        <f t="shared" si="1"/>
        <v>392.7571861</v>
      </c>
      <c r="H13" s="7">
        <f t="shared" si="2"/>
        <v>-1.157186147</v>
      </c>
      <c r="J13" s="9"/>
      <c r="K13" s="9"/>
      <c r="L13" s="9"/>
      <c r="M13" s="9"/>
    </row>
    <row r="14">
      <c r="A14" s="1">
        <v>2012.0</v>
      </c>
      <c r="B14" s="1">
        <v>393.8</v>
      </c>
      <c r="C14" s="1">
        <v>0.64</v>
      </c>
      <c r="D14" s="1">
        <v>40.1</v>
      </c>
      <c r="E14" s="1">
        <v>3.63</v>
      </c>
      <c r="F14" s="1">
        <v>32.7</v>
      </c>
      <c r="G14" s="7">
        <f t="shared" si="1"/>
        <v>394.9619913</v>
      </c>
      <c r="H14" s="7">
        <f t="shared" si="2"/>
        <v>-1.161991342</v>
      </c>
      <c r="J14" s="9"/>
      <c r="K14" s="9"/>
      <c r="L14" s="9"/>
      <c r="M14" s="9"/>
    </row>
    <row r="15">
      <c r="A15" s="1">
        <v>2013.0</v>
      </c>
      <c r="B15" s="1">
        <v>396.5</v>
      </c>
      <c r="C15" s="1">
        <v>0.68</v>
      </c>
      <c r="D15" s="1">
        <v>44.0</v>
      </c>
      <c r="E15" s="1">
        <v>5.35</v>
      </c>
      <c r="F15" s="1">
        <v>33.0</v>
      </c>
      <c r="G15" s="7">
        <f t="shared" si="1"/>
        <v>397.1667965</v>
      </c>
      <c r="H15" s="7">
        <f t="shared" si="2"/>
        <v>-0.6667965368</v>
      </c>
      <c r="J15" s="9"/>
      <c r="K15" s="9"/>
      <c r="L15" s="9"/>
      <c r="M15" s="9"/>
    </row>
    <row r="16">
      <c r="A16" s="1">
        <v>2014.0</v>
      </c>
      <c r="B16" s="1">
        <v>398.6</v>
      </c>
      <c r="C16" s="1">
        <v>0.75</v>
      </c>
      <c r="D16" s="1">
        <v>48.5</v>
      </c>
      <c r="E16" s="1">
        <v>5.28</v>
      </c>
      <c r="F16" s="1">
        <v>33.2</v>
      </c>
      <c r="G16" s="7">
        <f t="shared" si="1"/>
        <v>399.3716017</v>
      </c>
      <c r="H16" s="7">
        <f t="shared" si="2"/>
        <v>-0.7716017316</v>
      </c>
      <c r="J16" s="9"/>
      <c r="K16" s="9"/>
      <c r="L16" s="9"/>
      <c r="M16" s="9"/>
    </row>
    <row r="17">
      <c r="A17" s="1">
        <v>2015.0</v>
      </c>
      <c r="B17" s="1">
        <v>400.8</v>
      </c>
      <c r="C17" s="1">
        <v>0.87</v>
      </c>
      <c r="D17" s="1">
        <v>53.2</v>
      </c>
      <c r="E17" s="1">
        <v>4.63</v>
      </c>
      <c r="F17" s="1">
        <v>33.0</v>
      </c>
      <c r="G17" s="7">
        <f t="shared" si="1"/>
        <v>401.5764069</v>
      </c>
      <c r="H17" s="7">
        <f t="shared" si="2"/>
        <v>-0.7764069264</v>
      </c>
      <c r="J17" s="9"/>
      <c r="K17" s="9"/>
      <c r="L17" s="9"/>
      <c r="M17" s="9"/>
    </row>
    <row r="18">
      <c r="A18" s="1">
        <v>2016.0</v>
      </c>
      <c r="B18" s="1">
        <v>404.2</v>
      </c>
      <c r="C18" s="1">
        <v>1.01</v>
      </c>
      <c r="D18" s="1">
        <v>58.0</v>
      </c>
      <c r="E18" s="1">
        <v>4.72</v>
      </c>
      <c r="F18" s="1">
        <v>33.4</v>
      </c>
      <c r="G18" s="7">
        <f t="shared" si="1"/>
        <v>403.7812121</v>
      </c>
      <c r="H18" s="7">
        <f t="shared" si="2"/>
        <v>0.4187878788</v>
      </c>
      <c r="J18" s="9"/>
      <c r="K18" s="9"/>
      <c r="L18" s="9"/>
      <c r="M18" s="9"/>
    </row>
    <row r="19">
      <c r="A19" s="1">
        <v>2017.0</v>
      </c>
      <c r="B19" s="1">
        <v>406.5</v>
      </c>
      <c r="C19" s="1">
        <v>0.92</v>
      </c>
      <c r="D19" s="1">
        <v>63.1</v>
      </c>
      <c r="E19" s="1">
        <v>4.87</v>
      </c>
      <c r="F19" s="1">
        <v>33.6</v>
      </c>
      <c r="G19" s="7">
        <f t="shared" si="1"/>
        <v>405.9860173</v>
      </c>
      <c r="H19" s="7">
        <f t="shared" si="2"/>
        <v>0.513982684</v>
      </c>
      <c r="J19" s="9"/>
      <c r="K19" s="9"/>
      <c r="L19" s="9"/>
      <c r="M19" s="9"/>
    </row>
    <row r="20">
      <c r="A20" s="1">
        <v>2018.0</v>
      </c>
      <c r="B20" s="1">
        <v>408.5</v>
      </c>
      <c r="C20" s="1">
        <v>0.85</v>
      </c>
      <c r="D20" s="1">
        <v>67.8</v>
      </c>
      <c r="E20" s="1">
        <v>4.71</v>
      </c>
      <c r="F20" s="1">
        <v>34.0</v>
      </c>
      <c r="G20" s="7">
        <f t="shared" si="1"/>
        <v>408.1908225</v>
      </c>
      <c r="H20" s="7">
        <f t="shared" si="2"/>
        <v>0.3091774892</v>
      </c>
      <c r="J20" s="9"/>
      <c r="K20" s="9"/>
      <c r="L20" s="9"/>
      <c r="M20" s="9"/>
    </row>
    <row r="21" ht="15.75" customHeight="1">
      <c r="A21" s="1">
        <v>2019.0</v>
      </c>
      <c r="B21" s="1">
        <v>411.4</v>
      </c>
      <c r="C21" s="1">
        <v>0.98</v>
      </c>
      <c r="D21" s="1">
        <v>72.5</v>
      </c>
      <c r="E21" s="1">
        <v>4.32</v>
      </c>
      <c r="F21" s="1">
        <v>33.1</v>
      </c>
      <c r="G21" s="7">
        <f t="shared" si="1"/>
        <v>410.3956277</v>
      </c>
      <c r="H21" s="7">
        <f t="shared" si="2"/>
        <v>1.004372294</v>
      </c>
      <c r="J21" s="9"/>
      <c r="K21" s="9"/>
      <c r="L21" s="9"/>
      <c r="M21" s="9"/>
    </row>
    <row r="22" ht="15.75" customHeight="1">
      <c r="A22" s="1">
        <v>2020.0</v>
      </c>
      <c r="B22" s="1">
        <v>414.2</v>
      </c>
      <c r="C22" s="1">
        <v>1.02</v>
      </c>
      <c r="D22" s="1">
        <v>77.3</v>
      </c>
      <c r="E22" s="1">
        <v>3.92</v>
      </c>
      <c r="F22" s="1">
        <v>32.3</v>
      </c>
      <c r="G22" s="7">
        <f t="shared" si="1"/>
        <v>412.6004329</v>
      </c>
      <c r="H22" s="7">
        <f t="shared" si="2"/>
        <v>1.5995671</v>
      </c>
      <c r="J22" s="9"/>
      <c r="K22" s="9"/>
      <c r="L22" s="9"/>
      <c r="M22" s="9"/>
    </row>
    <row r="23" ht="15.75" customHeight="1"/>
    <row r="24" ht="15.75" customHeight="1">
      <c r="B24" s="5" t="s">
        <v>15</v>
      </c>
      <c r="C24" s="14"/>
      <c r="D24" s="14"/>
      <c r="E24" s="6"/>
      <c r="G24" s="15" t="s">
        <v>16</v>
      </c>
      <c r="H24" s="14"/>
      <c r="I24" s="14"/>
      <c r="J24" s="6"/>
    </row>
    <row r="25" ht="15.75" customHeight="1">
      <c r="B25" s="16" t="s">
        <v>17</v>
      </c>
      <c r="C25" s="10" t="s">
        <v>18</v>
      </c>
      <c r="D25" s="16" t="s">
        <v>19</v>
      </c>
      <c r="E25" s="16" t="s">
        <v>10</v>
      </c>
      <c r="G25" s="16" t="s">
        <v>17</v>
      </c>
      <c r="H25" s="10" t="s">
        <v>18</v>
      </c>
      <c r="I25" s="16" t="s">
        <v>19</v>
      </c>
      <c r="J25" s="16" t="s">
        <v>10</v>
      </c>
    </row>
    <row r="26" ht="15.75" customHeight="1">
      <c r="B26" s="16">
        <v>1.0</v>
      </c>
      <c r="C26" s="10" t="s">
        <v>20</v>
      </c>
      <c r="D26" s="17">
        <f>RSQ(B2:B22, A2:A22)</f>
        <v>0.9968323233</v>
      </c>
      <c r="E26" s="17">
        <f t="array" ref="E26">SQRT(AVERAGE((B2:B22 - G2:G22)^2))</f>
        <v>0.752601891</v>
      </c>
      <c r="G26" s="16">
        <v>1.0</v>
      </c>
      <c r="H26" s="10" t="s">
        <v>21</v>
      </c>
      <c r="I26" s="18">
        <f>RSQ(D2:D22, A2:A22)</f>
        <v>0.9905307867</v>
      </c>
      <c r="J26" s="17">
        <f t="array" ref="J26">SQRT(AVERAGE((D2:D22 - (3.8074*A2:A22 - 7617.8))^2))</f>
        <v>2.25427426</v>
      </c>
    </row>
    <row r="27" ht="15.75" customHeight="1">
      <c r="B27" s="16">
        <v>2.0</v>
      </c>
      <c r="C27" s="19" t="s">
        <v>22</v>
      </c>
      <c r="D27" s="18">
        <f t="array" ref="D27">INDEX(LINEST(B2:B22, A2:A22^{1,2}, TRUE, TRUE), 3, 1)</f>
        <v>0.9992595321</v>
      </c>
      <c r="E27" s="18">
        <f t="array" ref="E27">SQRT(AVERAGE((B2:B22 - TREND(B2:B22, A2:A22^{1,2}))^2))</f>
        <v>0.3638714768</v>
      </c>
      <c r="G27" s="16">
        <v>2.0</v>
      </c>
      <c r="H27" s="19" t="s">
        <v>23</v>
      </c>
      <c r="I27" s="18">
        <f t="array" ref="I27">INDEX(LINEST(D2:D22, A2:A22^{1,2}, TRUE, TRUE), 3, 1)</f>
        <v>0.9994215405</v>
      </c>
      <c r="J27" s="18">
        <f t="array" ref="J27">SQRT(AVERAGE((D2:D22 - TREND(D2:D22, A2:A22^{1,2}))^2))</f>
        <v>0.5571434439</v>
      </c>
    </row>
    <row r="28" ht="15.75" customHeight="1">
      <c r="B28" s="16">
        <v>3.0</v>
      </c>
      <c r="C28" s="19" t="s">
        <v>24</v>
      </c>
      <c r="D28" s="18">
        <f t="array" ref="D28">INDEX(LINEST(B2:B22, A2:A22^{1,2,3}, TRUE, TRUE), 3, 1)</f>
        <v>0.9995665259</v>
      </c>
      <c r="E28" s="18">
        <f t="array" ref="E28">SQRT(AVERAGE((B2:B22 - TREND(B2:B22, A2:A22^{1,2,3}))^2))</f>
        <v>0.2784046179</v>
      </c>
      <c r="G28" s="16">
        <v>3.0</v>
      </c>
      <c r="H28" s="19" t="s">
        <v>25</v>
      </c>
      <c r="I28" s="18">
        <f t="array" ref="I28">INDEX(LINEST(D2:D22, A2:A22^{1,2,3}, TRUE, TRUE), 3, 1)</f>
        <v>0.9996092795</v>
      </c>
      <c r="J28" s="18">
        <f t="array" ref="J28">SQRT(AVERAGE((D2:D22 - TREND(D2:D22, A2:A22^{1,2,3}))^2))</f>
        <v>0.4578926131</v>
      </c>
    </row>
    <row r="29" ht="15.75" customHeight="1">
      <c r="B29" s="16">
        <v>4.0</v>
      </c>
      <c r="C29" s="19" t="s">
        <v>26</v>
      </c>
      <c r="D29" s="18">
        <f t="array" ref="D29">INDEX(LINEST(B2:B22, A2:A22^{1,2,3,4}, TRUE, TRUE), 3, 1)</f>
        <v>0.9996117136</v>
      </c>
      <c r="E29" s="18">
        <f t="array" ref="E29">SQRT(AVERAGE((B2:B22 - TREND(B2:B22, A2:A22^{1,2,3,4}))^2))</f>
        <v>0.2634941528</v>
      </c>
      <c r="G29" s="16">
        <v>4.0</v>
      </c>
      <c r="H29" s="19" t="s">
        <v>27</v>
      </c>
      <c r="I29" s="18">
        <f t="array" ref="I29">INDEX(LINEST(D2:D22, A2:A22^{1,2,3,4}, TRUE, TRUE), 3, 1)</f>
        <v>0.9998659619</v>
      </c>
      <c r="J29" s="18">
        <f t="array" ref="J29">SQRT(AVERAGE((D2:D22 - TREND(D2:D22, A2:A22^{1,2,3,4}))^2))</f>
        <v>0.2681913301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N1:O1"/>
    <mergeCell ref="B24:E24"/>
    <mergeCell ref="G24:J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2026-03-23T11:12:38Z</dcterms:created>
</cp:coreProperties>
</file>